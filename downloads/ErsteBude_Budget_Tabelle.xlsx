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<sst xmlns="http://schemas.openxmlformats.org/spreadsheetml/2006/main" count="66" uniqueCount="57">
  <si>
    <t xml:space="preserve">Budget für deinen ersten Auszug</t>
  </si>
  <si>
    <t xml:space="preserve">erstebude.ch · Der Wegweiser für deinen ersten Auszug</t>
  </si>
  <si>
    <t xml:space="preserve">So gehts: Trag deine Beträge in die orangen Felder der Spalte «Deine Zahlen» ein (CHF). Alles andere rechnet automatisch. Die Spalte «Beispiel WG» zeigt nur, wie es ausgefüllt aussieht: fiktive Werte, keine Durchschnittswerte.</t>
  </si>
  <si>
    <t xml:space="preserve">Eckwerte</t>
  </si>
  <si>
    <t xml:space="preserve">Deine Zahlen</t>
  </si>
  <si>
    <t xml:space="preserve">Beispiel WG</t>
  </si>
  <si>
    <t xml:space="preserve">Hinweis</t>
  </si>
  <si>
    <t xml:space="preserve">Miete netto pro Monat (ohne Nebenkosten)</t>
  </si>
  <si>
    <t xml:space="preserve">Steht im Inserat oder Mietvertrag. Bei einer WG: dein Anteil.</t>
  </si>
  <si>
    <t xml:space="preserve">Nebenkosten pro Monat (Akonto oder Pauschale)</t>
  </si>
  <si>
    <t xml:space="preserve">Heizung, Warmwasser, Hauswart usw. Steht im Mietvertrag.</t>
  </si>
  <si>
    <t xml:space="preserve">Mietzinsdepot in Monatsmieten</t>
  </si>
  <si>
    <t xml:space="preserve">Höchstens 3 Monatsmieten (Art. 257e OR). Steht im Mietvertrag.</t>
  </si>
  <si>
    <t xml:space="preserve">Einmalige Kosten</t>
  </si>
  <si>
    <t xml:space="preserve">Mietzinsdepot</t>
  </si>
  <si>
    <t xml:space="preserve">Wird automatisch berechnet: Miete netto × Anzahl Monate. Du bekommst es beim Auszug zurück.</t>
  </si>
  <si>
    <t xml:space="preserve">Erste Monatsmiete inkl. Nebenkosten</t>
  </si>
  <si>
    <t xml:space="preserve">Wird meist vor dem Einzug fällig.</t>
  </si>
  <si>
    <t xml:space="preserve">Umzug (Zügelwagen, Benzin, Verpflegung Helfer)</t>
  </si>
  <si>
    <t xml:space="preserve">Möbel und Einrichtung</t>
  </si>
  <si>
    <t xml:space="preserve">Tipp: Secondhand, Brockenhaus, Gratis-Inserate.</t>
  </si>
  <si>
    <t xml:space="preserve">Küche und Haushalt (Geschirr, Putzmittel …)</t>
  </si>
  <si>
    <t xml:space="preserve">Betreibungsauszug und Kopien</t>
  </si>
  <si>
    <t xml:space="preserve">Betreibungsamt CHF 17, online bei der Post CHF 26.90.</t>
  </si>
  <si>
    <t xml:space="preserve">Sonstiges / Reserve</t>
  </si>
  <si>
    <t xml:space="preserve">Total einmalige Kosten</t>
  </si>
  <si>
    <t xml:space="preserve">Monatliche Ausgaben</t>
  </si>
  <si>
    <t xml:space="preserve">Miete inkl. Nebenkosten</t>
  </si>
  <si>
    <t xml:space="preserve">Wird automatisch aus den Eckwerten übernommen.</t>
  </si>
  <si>
    <t xml:space="preserve">Strom</t>
  </si>
  <si>
    <t xml:space="preserve">Bei manchen Wohnungen in den Nebenkosten enthalten.</t>
  </si>
  <si>
    <t xml:space="preserve">Internet und Handy</t>
  </si>
  <si>
    <t xml:space="preserve">Serafe (Radio- und Fernsehabgabe)</t>
  </si>
  <si>
    <t xml:space="preserve">Ab 2027 CHF 312 pro Jahr (CHF 26 pro Monat). Eine WG zahlt sie nur einmal und teilt.</t>
  </si>
  <si>
    <t xml:space="preserve">Hausrat- und Privathaftpflichtversicherung</t>
  </si>
  <si>
    <t xml:space="preserve">Krankenkasse (nach Prämienverbilligung)</t>
  </si>
  <si>
    <t xml:space="preserve">Prämienverbilligung bei deinem Kanton prüfen.</t>
  </si>
  <si>
    <t xml:space="preserve">ÖV-Abo oder Velo</t>
  </si>
  <si>
    <t xml:space="preserve">Essen und Haushalt</t>
  </si>
  <si>
    <t xml:space="preserve">Freizeit, Kleider, Hobbys</t>
  </si>
  <si>
    <t xml:space="preserve">Sparen / Reserve</t>
  </si>
  <si>
    <t xml:space="preserve">Ziel: einen kleinen Notgroschen aufbauen.</t>
  </si>
  <si>
    <t xml:space="preserve">Total monatliche Ausgaben</t>
  </si>
  <si>
    <t xml:space="preserve">Monatliche Einnahmen</t>
  </si>
  <si>
    <t xml:space="preserve">Lohn (netto)</t>
  </si>
  <si>
    <t xml:space="preserve">Nebenjob, Lehrlingslohn oder Lohn.</t>
  </si>
  <si>
    <t xml:space="preserve">Unterstützung der Eltern</t>
  </si>
  <si>
    <t xml:space="preserve">Stipendium / Sonstiges</t>
  </si>
  <si>
    <t xml:space="preserve">Total monatliche Einnahmen</t>
  </si>
  <si>
    <t xml:space="preserve">Ergebnis</t>
  </si>
  <si>
    <t xml:space="preserve">Bleibt pro Monat übrig</t>
  </si>
  <si>
    <t xml:space="preserve">Negativ (rot)? Dann bei Miete, Krankenkasse oder Freizeit ansetzen.</t>
  </si>
  <si>
    <t xml:space="preserve">Anteil Miete am Einkommen</t>
  </si>
  <si>
    <t xml:space="preserve">Faustregel: Die Miete sollte nicht mehr als etwa ein Drittel des Einkommens ausmachen.</t>
  </si>
  <si>
    <t xml:space="preserve">Monate bis die einmaligen Kosten angespart sind</t>
  </si>
  <si>
    <t xml:space="preserve">Wenn du den Betrag, der übrig bleibt, jeden Monat zur Seite legst.</t>
  </si>
  <si>
    <t xml:space="preserve">Ohne Gewähr, keine Finanz- oder Rechtsberatung. Mehr dazu: erstebude.ch/artikel/kosten-erste-wohnung-mietzinsdepot.html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</si>
</sst>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CHF&quot;;\-#,##0&quot; CHF&quot;;\–"/>
    <numFmt numFmtId="166" formatCode="0"/>
    <numFmt numFmtId="167" formatCode="#,##0&quot; CHF&quot;;[RED]\-#,##0&quot; CHF&quot;;&quot;0 CHF&quot;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F66"/>
      <name val="Arial"/>
      <family val="0"/>
      <charset val="1"/>
    </font>
    <font>
      <sz val="10"/>
      <color rgb="FF56637A"/>
      <name val="Arial"/>
      <family val="0"/>
      <charset val="1"/>
    </font>
    <font>
      <sz val="10"/>
      <color rgb="FF1624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6243A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6637A"/>
      <name val="Arial"/>
      <family val="0"/>
      <charset val="1"/>
    </font>
    <font>
      <sz val="9"/>
      <color rgb="FF56637A"/>
      <name val="Arial"/>
      <family val="0"/>
      <charset val="1"/>
    </font>
    <font>
      <b val="true"/>
      <sz val="11"/>
      <color rgb="FF1F3F66"/>
      <name val="Arial"/>
      <family val="0"/>
      <charset val="1"/>
    </font>
    <font>
      <b val="true"/>
      <sz val="13"/>
      <color rgb="FF1F3F66"/>
      <name val="Arial"/>
      <family val="0"/>
      <charset val="1"/>
    </font>
    <font>
      <b val="true"/>
      <sz val="11"/>
      <color rgb="FF16243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F66"/>
        <bgColor rgb="FF333399"/>
      </patternFill>
    </fill>
    <fill>
      <patternFill patternType="solid">
        <fgColor rgb="FFFBE9E0"/>
        <bgColor rgb="FFEAF0F6"/>
      </patternFill>
    </fill>
    <fill>
      <patternFill patternType="solid">
        <fgColor rgb="FFEAF0F6"/>
        <bgColor rgb="FFFBE9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E0"/>
      <rgbColor rgb="FFEAF0F6"/>
      <rgbColor rgb="FF660066"/>
      <rgbColor rgb="FFFF8080"/>
      <rgbColor rgb="FF0066CC"/>
      <rgbColor rgb="FFD6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37A"/>
      <rgbColor rgb="FF969696"/>
      <rgbColor rgb="FF1F3F66"/>
      <rgbColor rgb="FF339966"/>
      <rgbColor rgb="FF003300"/>
      <rgbColor rgb="FF333300"/>
      <rgbColor rgb="FF993300"/>
      <rgbColor rgb="FF993366"/>
      <rgbColor rgb="FF333399"/>
      <rgbColor rgb="FF16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5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2" hidden="false" customHeight="true" outlineLevel="0" collapsed="false">
      <c r="A3" s="3" t="s">
        <v>2</v>
      </c>
      <c r="B3" s="3"/>
      <c r="C3" s="3"/>
      <c r="D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/>
      <c r="C6" s="7" t="n">
        <v>650</v>
      </c>
      <c r="D6" s="8" t="s">
        <v>8</v>
      </c>
    </row>
    <row r="7" customFormat="false" ht="15" hidden="false" customHeight="false" outlineLevel="0" collapsed="false">
      <c r="A7" s="5" t="s">
        <v>9</v>
      </c>
      <c r="B7" s="6"/>
      <c r="C7" s="7" t="n">
        <v>100</v>
      </c>
      <c r="D7" s="8" t="s">
        <v>10</v>
      </c>
    </row>
    <row r="8" customFormat="false" ht="15" hidden="false" customHeight="false" outlineLevel="0" collapsed="false">
      <c r="A8" s="5" t="s">
        <v>11</v>
      </c>
      <c r="B8" s="9"/>
      <c r="C8" s="10" t="n">
        <v>3</v>
      </c>
      <c r="D8" s="8" t="s">
        <v>12</v>
      </c>
    </row>
    <row r="10" customFormat="false" ht="21.75" hidden="false" customHeight="true" outlineLevel="0" collapsed="false">
      <c r="A10" s="4" t="s">
        <v>13</v>
      </c>
      <c r="B10" s="4" t="s">
        <v>4</v>
      </c>
      <c r="C10" s="4" t="s">
        <v>5</v>
      </c>
      <c r="D10" s="4" t="s">
        <v>6</v>
      </c>
    </row>
    <row r="11" customFormat="false" ht="22.35" hidden="false" customHeight="false" outlineLevel="0" collapsed="false">
      <c r="A11" s="5" t="s">
        <v>14</v>
      </c>
      <c r="B11" s="11" t="n">
        <f aca="false">B6*B8</f>
        <v>0</v>
      </c>
      <c r="C11" s="7" t="n">
        <f aca="false">C6*C8</f>
        <v>1950</v>
      </c>
      <c r="D11" s="8" t="s">
        <v>15</v>
      </c>
    </row>
    <row r="12" customFormat="false" ht="15" hidden="false" customHeight="false" outlineLevel="0" collapsed="false">
      <c r="A12" s="5" t="s">
        <v>16</v>
      </c>
      <c r="B12" s="11" t="n">
        <f aca="false">B6+B7</f>
        <v>0</v>
      </c>
      <c r="C12" s="7" t="n">
        <f aca="false">C6+C7</f>
        <v>750</v>
      </c>
      <c r="D12" s="8" t="s">
        <v>17</v>
      </c>
    </row>
    <row r="13" customFormat="false" ht="15" hidden="false" customHeight="false" outlineLevel="0" collapsed="false">
      <c r="A13" s="5" t="s">
        <v>18</v>
      </c>
      <c r="B13" s="6"/>
      <c r="C13" s="7" t="n">
        <v>300</v>
      </c>
      <c r="D13" s="8"/>
    </row>
    <row r="14" customFormat="false" ht="15" hidden="false" customHeight="false" outlineLevel="0" collapsed="false">
      <c r="A14" s="5" t="s">
        <v>19</v>
      </c>
      <c r="B14" s="6"/>
      <c r="C14" s="7" t="n">
        <v>800</v>
      </c>
      <c r="D14" s="8" t="s">
        <v>20</v>
      </c>
    </row>
    <row r="15" customFormat="false" ht="15" hidden="false" customHeight="false" outlineLevel="0" collapsed="false">
      <c r="A15" s="5" t="s">
        <v>21</v>
      </c>
      <c r="B15" s="6"/>
      <c r="C15" s="7" t="n">
        <v>200</v>
      </c>
      <c r="D15" s="8"/>
    </row>
    <row r="16" customFormat="false" ht="15" hidden="false" customHeight="false" outlineLevel="0" collapsed="false">
      <c r="A16" s="5" t="s">
        <v>22</v>
      </c>
      <c r="B16" s="6"/>
      <c r="C16" s="7" t="n">
        <v>20</v>
      </c>
      <c r="D16" s="8" t="s">
        <v>23</v>
      </c>
    </row>
    <row r="17" customFormat="false" ht="15" hidden="false" customHeight="false" outlineLevel="0" collapsed="false">
      <c r="A17" s="5" t="s">
        <v>24</v>
      </c>
      <c r="B17" s="6"/>
      <c r="C17" s="7" t="n">
        <v>200</v>
      </c>
      <c r="D17" s="8"/>
    </row>
    <row r="18" customFormat="false" ht="15" hidden="false" customHeight="false" outlineLevel="0" collapsed="false">
      <c r="A18" s="12" t="s">
        <v>25</v>
      </c>
      <c r="B18" s="13" t="n">
        <f aca="false">SUM(B11:B17)</f>
        <v>0</v>
      </c>
      <c r="C18" s="13" t="n">
        <f aca="false">SUM(C11:C17)</f>
        <v>4220</v>
      </c>
      <c r="D18" s="14"/>
    </row>
    <row r="20" customFormat="false" ht="21.75" hidden="false" customHeight="true" outlineLevel="0" collapsed="false">
      <c r="A20" s="4" t="s">
        <v>26</v>
      </c>
      <c r="B20" s="4" t="s">
        <v>4</v>
      </c>
      <c r="C20" s="4" t="s">
        <v>5</v>
      </c>
      <c r="D20" s="4" t="s">
        <v>6</v>
      </c>
    </row>
    <row r="21" customFormat="false" ht="15" hidden="false" customHeight="false" outlineLevel="0" collapsed="false">
      <c r="A21" s="5" t="s">
        <v>27</v>
      </c>
      <c r="B21" s="11" t="n">
        <f aca="false">B6+B7</f>
        <v>0</v>
      </c>
      <c r="C21" s="7" t="n">
        <f aca="false">C6+C7</f>
        <v>750</v>
      </c>
      <c r="D21" s="8" t="s">
        <v>28</v>
      </c>
    </row>
    <row r="22" customFormat="false" ht="15" hidden="false" customHeight="false" outlineLevel="0" collapsed="false">
      <c r="A22" s="5" t="s">
        <v>29</v>
      </c>
      <c r="B22" s="6"/>
      <c r="C22" s="7" t="n">
        <v>40</v>
      </c>
      <c r="D22" s="8" t="s">
        <v>30</v>
      </c>
    </row>
    <row r="23" customFormat="false" ht="15" hidden="false" customHeight="false" outlineLevel="0" collapsed="false">
      <c r="A23" s="5" t="s">
        <v>31</v>
      </c>
      <c r="B23" s="6"/>
      <c r="C23" s="7" t="n">
        <v>70</v>
      </c>
      <c r="D23" s="8"/>
    </row>
    <row r="24" customFormat="false" ht="22.35" hidden="false" customHeight="false" outlineLevel="0" collapsed="false">
      <c r="A24" s="5" t="s">
        <v>32</v>
      </c>
      <c r="B24" s="6"/>
      <c r="C24" s="7" t="n">
        <v>26</v>
      </c>
      <c r="D24" s="8" t="s">
        <v>33</v>
      </c>
    </row>
    <row r="25" customFormat="false" ht="15" hidden="false" customHeight="false" outlineLevel="0" collapsed="false">
      <c r="A25" s="5" t="s">
        <v>34</v>
      </c>
      <c r="B25" s="6"/>
      <c r="C25" s="7" t="n">
        <v>20</v>
      </c>
      <c r="D25" s="8"/>
    </row>
    <row r="26" customFormat="false" ht="15" hidden="false" customHeight="false" outlineLevel="0" collapsed="false">
      <c r="A26" s="5" t="s">
        <v>35</v>
      </c>
      <c r="B26" s="6"/>
      <c r="C26" s="7" t="n">
        <v>340</v>
      </c>
      <c r="D26" s="8" t="s">
        <v>36</v>
      </c>
    </row>
    <row r="27" customFormat="false" ht="15" hidden="false" customHeight="false" outlineLevel="0" collapsed="false">
      <c r="A27" s="5" t="s">
        <v>37</v>
      </c>
      <c r="B27" s="6"/>
      <c r="C27" s="7" t="n">
        <v>80</v>
      </c>
      <c r="D27" s="8"/>
    </row>
    <row r="28" customFormat="false" ht="15" hidden="false" customHeight="false" outlineLevel="0" collapsed="false">
      <c r="A28" s="5" t="s">
        <v>38</v>
      </c>
      <c r="B28" s="6"/>
      <c r="C28" s="7" t="n">
        <v>400</v>
      </c>
      <c r="D28" s="8"/>
    </row>
    <row r="29" customFormat="false" ht="15" hidden="false" customHeight="false" outlineLevel="0" collapsed="false">
      <c r="A29" s="5" t="s">
        <v>39</v>
      </c>
      <c r="B29" s="6"/>
      <c r="C29" s="7" t="n">
        <v>200</v>
      </c>
      <c r="D29" s="8"/>
    </row>
    <row r="30" customFormat="false" ht="15" hidden="false" customHeight="false" outlineLevel="0" collapsed="false">
      <c r="A30" s="5" t="s">
        <v>40</v>
      </c>
      <c r="B30" s="6"/>
      <c r="C30" s="7" t="n">
        <v>100</v>
      </c>
      <c r="D30" s="8" t="s">
        <v>41</v>
      </c>
    </row>
    <row r="31" customFormat="false" ht="15" hidden="false" customHeight="false" outlineLevel="0" collapsed="false">
      <c r="A31" s="12" t="s">
        <v>42</v>
      </c>
      <c r="B31" s="13" t="n">
        <f aca="false">SUM(B21:B30)</f>
        <v>0</v>
      </c>
      <c r="C31" s="13" t="n">
        <f aca="false">SUM(C21:C30)</f>
        <v>2026</v>
      </c>
      <c r="D31" s="14"/>
    </row>
    <row r="33" customFormat="false" ht="21.75" hidden="false" customHeight="true" outlineLevel="0" collapsed="false">
      <c r="A33" s="4" t="s">
        <v>43</v>
      </c>
      <c r="B33" s="4" t="s">
        <v>4</v>
      </c>
      <c r="C33" s="4" t="s">
        <v>5</v>
      </c>
      <c r="D33" s="4" t="s">
        <v>6</v>
      </c>
    </row>
    <row r="34" customFormat="false" ht="15" hidden="false" customHeight="false" outlineLevel="0" collapsed="false">
      <c r="A34" s="5" t="s">
        <v>44</v>
      </c>
      <c r="B34" s="6"/>
      <c r="C34" s="7" t="n">
        <v>1800</v>
      </c>
      <c r="D34" s="8" t="s">
        <v>45</v>
      </c>
    </row>
    <row r="35" customFormat="false" ht="15" hidden="false" customHeight="false" outlineLevel="0" collapsed="false">
      <c r="A35" s="5" t="s">
        <v>46</v>
      </c>
      <c r="B35" s="6"/>
      <c r="C35" s="7" t="n">
        <v>600</v>
      </c>
      <c r="D35" s="8"/>
    </row>
    <row r="36" customFormat="false" ht="15" hidden="false" customHeight="false" outlineLevel="0" collapsed="false">
      <c r="A36" s="5" t="s">
        <v>47</v>
      </c>
      <c r="B36" s="6"/>
      <c r="C36" s="7" t="n">
        <v>0</v>
      </c>
      <c r="D36" s="8"/>
    </row>
    <row r="37" customFormat="false" ht="15" hidden="false" customHeight="false" outlineLevel="0" collapsed="false">
      <c r="A37" s="12" t="s">
        <v>48</v>
      </c>
      <c r="B37" s="13" t="n">
        <f aca="false">SUM(B34:B36)</f>
        <v>0</v>
      </c>
      <c r="C37" s="13" t="n">
        <f aca="false">SUM(C34:C36)</f>
        <v>2400</v>
      </c>
      <c r="D37" s="14"/>
    </row>
    <row r="39" customFormat="false" ht="16.15" hidden="false" customHeight="false" outlineLevel="0" collapsed="false">
      <c r="A39" s="15" t="s">
        <v>49</v>
      </c>
    </row>
    <row r="40" customFormat="false" ht="15" hidden="false" customHeight="false" outlineLevel="0" collapsed="false">
      <c r="A40" s="16" t="s">
        <v>50</v>
      </c>
      <c r="B40" s="17" t="n">
        <f aca="false">B37-B31</f>
        <v>0</v>
      </c>
      <c r="C40" s="17" t="n">
        <f aca="false">C37-C31</f>
        <v>374</v>
      </c>
      <c r="D40" s="18" t="s">
        <v>51</v>
      </c>
    </row>
    <row r="41" customFormat="false" ht="15" hidden="false" customHeight="false" outlineLevel="0" collapsed="false">
      <c r="A41" s="16" t="s">
        <v>52</v>
      </c>
      <c r="B41" s="19" t="str">
        <f aca="false">IF(B37&gt;0,B21/B37,"")</f>
        <v/>
      </c>
      <c r="C41" s="19" t="n">
        <f aca="false">IF(C37&gt;0,C21/C37,"")</f>
        <v>0.3125</v>
      </c>
      <c r="D41" s="18" t="s">
        <v>53</v>
      </c>
    </row>
    <row r="42" customFormat="false" ht="15" hidden="false" customHeight="false" outlineLevel="0" collapsed="false">
      <c r="A42" s="16" t="s">
        <v>54</v>
      </c>
      <c r="B42" s="20" t="str">
        <f aca="false">IF(B40&gt;0,ROUNDUP(B18/B40,0),"–")</f>
        <v>–</v>
      </c>
      <c r="C42" s="20" t="n">
        <f aca="false">IF(C40&gt;0,ROUNDUP(C18/C40,0),"–")</f>
        <v>12</v>
      </c>
      <c r="D42" s="18" t="s">
        <v>55</v>
      </c>
    </row>
    <row r="44" customFormat="false" ht="15" hidden="false" customHeight="false" outlineLevel="0" collapsed="false">
      <c r="A44" s="18" t="s">
        <v>56</v>
      </c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2026-10-29T11:10:43Z</dcterms:created>
  <dc:creator>openpyxl</dc:creator>
  <dc:description/>
  <dc:language>en-US</dc:language>
  <cp:lastModifiedBy/>
  <dcterms:modified xsi:type="dcterms:W3CDTF">2026-10-29T11:10:43Z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