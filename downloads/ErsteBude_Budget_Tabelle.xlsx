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udget" sheetId="1" state="visible" r:id="rId1"/>
  </sheets>
  <definedNames>
    <definedName name="_xlnm.Print_Titles" localSheetId="0">'Budget'!$1:$3</definedName>
  </definedNames>
  <calcPr calcId="124519" fullCalcOnLoad="1"/>
</workbook>
</file>

<file path=xl/styles.xml><?xml version="1.0" encoding="utf-8"?>
<styleSheet xmlns="http://schemas.openxmlformats.org/spreadsheetml/2006/main">
  <numFmts count="1">
    <numFmt numFmtId="164" formatCode="#,##0&quot; CHF&quot;;[Red]-#,##0&quot; CHF&quot;;&quot;–&quot;"/>
  </numFmts>
  <fonts count="13">
    <font>
      <name val="Calibri"/>
      <family val="2"/>
      <color theme="1"/>
      <sz val="11"/>
      <scheme val="minor"/>
    </font>
    <font>
      <name val="Arial"/>
      <b val="1"/>
      <color rgb="00FFFFFF"/>
      <sz val="20"/>
    </font>
    <font>
      <name val="Arial"/>
      <color rgb="00D3DEEA"/>
      <sz val="10"/>
    </font>
    <font>
      <name val="Arial"/>
      <color rgb="0016243A"/>
      <sz val="10"/>
    </font>
    <font>
      <name val="Arial"/>
      <b val="1"/>
      <color rgb="001F3F66"/>
      <sz val="12"/>
    </font>
    <font>
      <name val="Arial"/>
      <b val="1"/>
      <color rgb="001F3F66"/>
      <sz val="10"/>
    </font>
    <font>
      <name val="Arial"/>
      <color rgb="0016243A"/>
    </font>
    <font>
      <name val="Arial"/>
      <b val="1"/>
      <color rgb="000000FF"/>
    </font>
    <font>
      <name val="Arial"/>
      <i val="1"/>
      <color rgb="0056637A"/>
    </font>
    <font>
      <name val="Arial"/>
      <color rgb="0056637A"/>
      <sz val="9"/>
    </font>
    <font>
      <name val="Arial"/>
      <b val="1"/>
      <color rgb="00FFFFFF"/>
    </font>
    <font>
      <name val="Arial"/>
      <b val="1"/>
      <color rgb="0016243A"/>
    </font>
    <font>
      <name val="Arial"/>
      <b val="1"/>
      <color rgb="0016243A"/>
      <sz val="12"/>
    </font>
  </fonts>
  <fills count="7">
    <fill>
      <patternFill/>
    </fill>
    <fill>
      <patternFill patternType="gray125"/>
    </fill>
    <fill>
      <patternFill patternType="solid">
        <fgColor rgb="001F3F66"/>
      </patternFill>
    </fill>
    <fill>
      <patternFill patternType="solid">
        <fgColor rgb="00FBE9E0"/>
      </patternFill>
    </fill>
    <fill>
      <patternFill patternType="solid">
        <fgColor rgb="00E8703F"/>
      </patternFill>
    </fill>
    <fill>
      <patternFill patternType="solid">
        <fgColor rgb="00EAF0F6"/>
      </patternFill>
    </fill>
    <fill>
      <patternFill patternType="solid">
        <fgColor rgb="00FFFFFF"/>
      </patternFill>
    </fill>
  </fills>
  <borders count="3">
    <border>
      <left/>
      <right/>
      <top/>
      <bottom/>
      <diagonal/>
    </border>
    <border>
      <left style="thin">
        <color rgb="00E8703F"/>
      </left>
      <right style="thin">
        <color rgb="00E8703F"/>
      </right>
      <top style="thin">
        <color rgb="00E8703F"/>
      </top>
      <bottom style="thin">
        <color rgb="00E8703F"/>
      </bottom>
    </border>
    <border>
      <bottom style="thin">
        <color rgb="00D6DEE8"/>
      </bottom>
    </border>
  </borders>
  <cellStyleXfs count="1">
    <xf numFmtId="0" fontId="0" fillId="0" borderId="0"/>
  </cellStyleXfs>
  <cellXfs count="24">
    <xf numFmtId="0" fontId="0" fillId="0" borderId="0" pivotButton="0" quotePrefix="0" xfId="0"/>
    <xf numFmtId="0" fontId="0" fillId="2" borderId="0" pivotButton="0" quotePrefix="0" xfId="0"/>
    <xf numFmtId="0" fontId="1" fillId="2" borderId="0" pivotButton="0" quotePrefix="0" xfId="0"/>
    <xf numFmtId="0" fontId="2" fillId="2" borderId="0" pivotButton="0" quotePrefix="0" xfId="0"/>
    <xf numFmtId="0" fontId="3" fillId="3" borderId="0" applyAlignment="1" pivotButton="0" quotePrefix="0" xfId="0">
      <alignment vertical="top" wrapText="1"/>
    </xf>
    <xf numFmtId="0" fontId="0" fillId="3" borderId="0" pivotButton="0" quotePrefix="0" xfId="0"/>
    <xf numFmtId="0" fontId="0" fillId="4" borderId="0" pivotButton="0" quotePrefix="0" xfId="0"/>
    <xf numFmtId="0" fontId="4" fillId="5" borderId="0" applyAlignment="1" pivotButton="0" quotePrefix="0" xfId="0">
      <alignment horizontal="left" vertical="center"/>
    </xf>
    <xf numFmtId="0" fontId="5" fillId="5" borderId="0" applyAlignment="1" pivotButton="0" quotePrefix="0" xfId="0">
      <alignment horizontal="right" vertical="center"/>
    </xf>
    <xf numFmtId="0" fontId="5" fillId="5" borderId="0" applyAlignment="1" pivotButton="0" quotePrefix="0" xfId="0">
      <alignment horizontal="left" vertical="center"/>
    </xf>
    <xf numFmtId="0" fontId="6" fillId="0" borderId="2" applyAlignment="1" pivotButton="0" quotePrefix="0" xfId="0">
      <alignment vertical="center" wrapText="1"/>
    </xf>
    <xf numFmtId="164" fontId="7" fillId="6" borderId="1" applyAlignment="1" pivotButton="0" quotePrefix="0" xfId="0">
      <alignment horizontal="right" vertical="center"/>
    </xf>
    <xf numFmtId="164" fontId="8" fillId="0" borderId="0" applyAlignment="1" pivotButton="0" quotePrefix="0" xfId="0">
      <alignment horizontal="right" vertical="center"/>
    </xf>
    <xf numFmtId="0" fontId="9" fillId="0" borderId="2" applyAlignment="1" pivotButton="0" quotePrefix="0" xfId="0">
      <alignment vertical="center" wrapText="1" indent="1"/>
    </xf>
    <xf numFmtId="1" fontId="7" fillId="6" borderId="1" applyAlignment="1" pivotButton="0" quotePrefix="0" xfId="0">
      <alignment horizontal="right" vertical="center"/>
    </xf>
    <xf numFmtId="1" fontId="8" fillId="0" borderId="0" applyAlignment="1" pivotButton="0" quotePrefix="0" xfId="0">
      <alignment horizontal="right" vertical="center"/>
    </xf>
    <xf numFmtId="164" fontId="6" fillId="0" borderId="0" applyAlignment="1" pivotButton="0" quotePrefix="0" xfId="0">
      <alignment horizontal="right" vertical="center"/>
    </xf>
    <xf numFmtId="0" fontId="10" fillId="2" borderId="0" applyAlignment="1" pivotButton="0" quotePrefix="0" xfId="0">
      <alignment vertical="center"/>
    </xf>
    <xf numFmtId="164" fontId="10" fillId="2" borderId="0" applyAlignment="1" pivotButton="0" quotePrefix="0" xfId="0">
      <alignment horizontal="right" vertical="center"/>
    </xf>
    <xf numFmtId="0" fontId="11" fillId="0" borderId="2" pivotButton="0" quotePrefix="0" xfId="0"/>
    <xf numFmtId="164" fontId="12" fillId="0" borderId="2" applyAlignment="1" pivotButton="0" quotePrefix="0" xfId="0">
      <alignment horizontal="right" vertical="center"/>
    </xf>
    <xf numFmtId="9" fontId="12" fillId="0" borderId="2" applyAlignment="1" pivotButton="0" quotePrefix="0" xfId="0">
      <alignment horizontal="right" vertical="center"/>
    </xf>
    <xf numFmtId="1" fontId="12" fillId="0" borderId="2" applyAlignment="1" pivotButton="0" quotePrefix="0" xfId="0">
      <alignment horizontal="right" vertical="center"/>
    </xf>
    <xf numFmtId="0" fontId="9" fillId="0" borderId="0" pivotButton="0" quotePrefix="0" xfId="0"/>
  </cellXfs>
  <cellStyles count="1">
    <cellStyle name="Normal" xfId="0" builtinId="0" hidden="0"/>
  </cellStyles>
  <dxfs count="2">
    <dxf>
      <fill>
        <patternFill patternType="solid">
          <fgColor rgb="00DFF1E4"/>
        </patternFill>
      </fill>
    </dxf>
    <dxf>
      <fill>
        <patternFill patternType="solid">
          <fgColor rgb="00FBE0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E50"/>
  <sheetViews>
    <sheetView showGridLines="0" zoomScale="110" workbookViewId="0">
      <pane ySplit="6" topLeftCell="A7" activePane="bottomLeft" state="frozen"/>
      <selection pane="bottomLeft" activeCell="C8" sqref="C8"/>
    </sheetView>
  </sheetViews>
  <sheetFormatPr baseColWidth="8" defaultRowHeight="15"/>
  <cols>
    <col width="3" customWidth="1" min="1" max="1"/>
    <col width="46" customWidth="1" min="2" max="2"/>
    <col width="17" customWidth="1" min="3" max="3"/>
    <col width="17" customWidth="1" min="4" max="4"/>
    <col width="60" customWidth="1" min="5" max="5"/>
  </cols>
  <sheetData>
    <row r="1" ht="10" customHeight="1">
      <c r="A1" s="1" t="n"/>
      <c r="B1" s="1" t="n"/>
      <c r="C1" s="1" t="n"/>
      <c r="D1" s="1" t="n"/>
      <c r="E1" s="1" t="n"/>
    </row>
    <row r="2" ht="34" customHeight="1">
      <c r="A2" s="1" t="n"/>
      <c r="B2" s="2" t="inlineStr">
        <is>
          <t>Budget für deinen ersten Auszug</t>
        </is>
      </c>
      <c r="C2" s="1" t="n"/>
      <c r="D2" s="1" t="n"/>
      <c r="E2" s="1" t="n"/>
    </row>
    <row r="3" ht="22" customHeight="1">
      <c r="A3" s="1" t="n"/>
      <c r="B3" s="3" t="inlineStr">
        <is>
          <t>erstebude.ch · Der Wegweiser für deinen ersten Auszug</t>
        </is>
      </c>
      <c r="C3" s="1" t="n"/>
      <c r="D3" s="1" t="n"/>
      <c r="E3" s="1" t="n"/>
    </row>
    <row r="5" ht="44" customHeight="1">
      <c r="B5" s="4" t="inlineStr">
        <is>
          <t>So geht es: Trag deine Beträge in die weissen Felder mit orangem Rahmen ein (Spalte «Deine Zahlen», in CHF). Alles andere rechnet die Tabelle aus. Die Spalte «Beispiel» zeigt eine erste Wohnung für CHF 900 im Monat, wie im Artikel auf erstebude.ch.</t>
        </is>
      </c>
      <c r="C5" s="5" t="n"/>
      <c r="D5" s="5" t="n"/>
      <c r="E5" s="5" t="n"/>
    </row>
    <row r="7" ht="26" customHeight="1">
      <c r="A7" s="6" t="n"/>
      <c r="B7" s="7" t="inlineStr">
        <is>
          <t>1  Eckwerte</t>
        </is>
      </c>
      <c r="C7" s="8" t="inlineStr">
        <is>
          <t>Deine Zahlen</t>
        </is>
      </c>
      <c r="D7" s="8" t="inlineStr">
        <is>
          <t>Beispiel</t>
        </is>
      </c>
      <c r="E7" s="9" t="inlineStr">
        <is>
          <t>Hinweis</t>
        </is>
      </c>
    </row>
    <row r="8" ht="22" customHeight="1">
      <c r="B8" s="10" t="inlineStr">
        <is>
          <t>Miete netto pro Monat (ohne Nebenkosten)</t>
        </is>
      </c>
      <c r="C8" s="11" t="n"/>
      <c r="D8" s="12" t="n">
        <v>780</v>
      </c>
      <c r="E8" s="13" t="inlineStr">
        <is>
          <t>Steht im Inserat oder Mietvertrag. In der WG: dein Anteil.</t>
        </is>
      </c>
    </row>
    <row r="9" ht="22" customHeight="1">
      <c r="B9" s="10" t="inlineStr">
        <is>
          <t>Nebenkosten pro Monat (akonto oder pauschal)</t>
        </is>
      </c>
      <c r="C9" s="11" t="n"/>
      <c r="D9" s="12" t="n">
        <v>120</v>
      </c>
      <c r="E9" s="13" t="inlineStr">
        <is>
          <t>Oft 15 bis 25 % der Nettomiete. Steht im Mietvertrag.</t>
        </is>
      </c>
    </row>
    <row r="10" ht="22" customHeight="1">
      <c r="B10" s="10" t="inlineStr">
        <is>
          <t>Mietzinsdepot in Monatsmieten</t>
        </is>
      </c>
      <c r="C10" s="14" t="n"/>
      <c r="D10" s="15" t="n">
        <v>3</v>
      </c>
      <c r="E10" s="13" t="inlineStr">
        <is>
          <t>Höchstens 3 Monatsmieten (Art. 257e OR). Steht im Mietvertrag.</t>
        </is>
      </c>
    </row>
    <row r="12" ht="26" customHeight="1">
      <c r="A12" s="6" t="n"/>
      <c r="B12" s="7" t="inlineStr">
        <is>
          <t>2  Einmalige Kosten vor dem Einzug</t>
        </is>
      </c>
      <c r="C12" s="8" t="inlineStr">
        <is>
          <t>Deine Zahlen</t>
        </is>
      </c>
      <c r="D12" s="8" t="inlineStr">
        <is>
          <t>Beispiel</t>
        </is>
      </c>
      <c r="E12" s="9" t="inlineStr">
        <is>
          <t>Hinweis</t>
        </is>
      </c>
    </row>
    <row r="13" ht="30" customHeight="1">
      <c r="B13" s="10" t="inlineStr">
        <is>
          <t>Mietzinsdepot</t>
        </is>
      </c>
      <c r="C13" s="16">
        <f>(C8+C9)*C10</f>
        <v/>
      </c>
      <c r="D13" s="12">
        <f>(D8+D9)*D10</f>
        <v/>
      </c>
      <c r="E13" s="13" t="inlineStr">
        <is>
          <t>Rechnet automatisch: Bruttomiete × Monate. Du bekommst es erst nach dem Auszug zurück.</t>
        </is>
      </c>
    </row>
    <row r="14" ht="22" customHeight="1">
      <c r="B14" s="10" t="inlineStr">
        <is>
          <t>Erste Monatsmiete inkl. Nebenkosten</t>
        </is>
      </c>
      <c r="C14" s="16">
        <f>C8+C9</f>
        <v/>
      </c>
      <c r="D14" s="12">
        <f>D8+D9</f>
        <v/>
      </c>
      <c r="E14" s="13" t="inlineStr">
        <is>
          <t>Meist vor dem Einzug fällig.</t>
        </is>
      </c>
    </row>
    <row r="15" ht="22" customHeight="1">
      <c r="B15" s="10" t="inlineStr">
        <is>
          <t>Betreibungsauszug</t>
        </is>
      </c>
      <c r="C15" s="11" t="n"/>
      <c r="D15" s="12" t="n">
        <v>26</v>
      </c>
      <c r="E15" s="13" t="inlineStr">
        <is>
          <t>CHF 17 bis 35, beim Betreibungsamt oder bei der Post.</t>
        </is>
      </c>
    </row>
    <row r="16" ht="22" customHeight="1">
      <c r="B16" s="10" t="inlineStr">
        <is>
          <t>Anmeldung bei der Gemeinde</t>
        </is>
      </c>
      <c r="C16" s="11" t="n"/>
      <c r="D16" s="12" t="n">
        <v>20</v>
      </c>
      <c r="E16" s="13" t="inlineStr">
        <is>
          <t>CHF 0 bis 40, je nach Gemeinde.</t>
        </is>
      </c>
    </row>
    <row r="17" ht="22" customHeight="1">
      <c r="B17" s="10" t="inlineStr">
        <is>
          <t>Zügeln (Transporter, Material, Essen für die Helfer)</t>
        </is>
      </c>
      <c r="C17" s="11" t="n"/>
      <c r="D17" s="12" t="n">
        <v>300</v>
      </c>
      <c r="E17" s="13" t="inlineStr">
        <is>
          <t>Mit Freunden zügeln ist meist am günstigsten.</t>
        </is>
      </c>
    </row>
    <row r="18" ht="22" customHeight="1">
      <c r="B18" s="10" t="inlineStr">
        <is>
          <t>Möbel und Einrichtung</t>
        </is>
      </c>
      <c r="C18" s="11" t="n"/>
      <c r="D18" s="12" t="n">
        <v>800</v>
      </c>
      <c r="E18" s="13" t="inlineStr">
        <is>
          <t>Tipp: Möbel der Vormieter übernehmen, Brockenhaus, Gratis-Inserate.</t>
        </is>
      </c>
    </row>
    <row r="19" ht="22" customHeight="1">
      <c r="B19" s="10" t="inlineStr">
        <is>
          <t>Küche und Haushalt (Geschirr, Putzmittel …)</t>
        </is>
      </c>
      <c r="C19" s="11" t="n"/>
      <c r="D19" s="12" t="n">
        <v>200</v>
      </c>
      <c r="E19" s="13" t="inlineStr"/>
    </row>
    <row r="20" ht="22" customHeight="1">
      <c r="B20" s="10" t="inlineStr">
        <is>
          <t>Reserve</t>
        </is>
      </c>
      <c r="C20" s="11" t="n"/>
      <c r="D20" s="12" t="n">
        <v>200</v>
      </c>
      <c r="E20" s="13" t="inlineStr">
        <is>
          <t>Für alles, was du vergessen hast.</t>
        </is>
      </c>
    </row>
    <row r="21" ht="24" customHeight="1">
      <c r="B21" s="17" t="inlineStr">
        <is>
          <t>Total einmalige Kosten</t>
        </is>
      </c>
      <c r="C21" s="18">
        <f>SUM(C13:C20)</f>
        <v/>
      </c>
      <c r="D21" s="18">
        <f>SUM(D13:D20)</f>
        <v/>
      </c>
      <c r="E21" s="1" t="n"/>
    </row>
    <row r="23" ht="26" customHeight="1">
      <c r="A23" s="6" t="n"/>
      <c r="B23" s="7" t="inlineStr">
        <is>
          <t>3  Monatliche Ausgaben</t>
        </is>
      </c>
      <c r="C23" s="8" t="inlineStr">
        <is>
          <t>Deine Zahlen</t>
        </is>
      </c>
      <c r="D23" s="8" t="inlineStr">
        <is>
          <t>Beispiel</t>
        </is>
      </c>
      <c r="E23" s="9" t="inlineStr">
        <is>
          <t>Hinweis</t>
        </is>
      </c>
    </row>
    <row r="24" ht="22" customHeight="1">
      <c r="B24" s="10" t="inlineStr">
        <is>
          <t>Miete inkl. Nebenkosten</t>
        </is>
      </c>
      <c r="C24" s="16">
        <f>C8+C9</f>
        <v/>
      </c>
      <c r="D24" s="12">
        <f>D8+D9</f>
        <v/>
      </c>
      <c r="E24" s="13" t="inlineStr">
        <is>
          <t>Rechnet automatisch aus den Eckwerten.</t>
        </is>
      </c>
    </row>
    <row r="25" ht="30" customHeight="1">
      <c r="B25" s="10" t="inlineStr">
        <is>
          <t>Krankenkasse (nach Prämienverbilligung)</t>
        </is>
      </c>
      <c r="C25" s="11" t="n"/>
      <c r="D25" s="12" t="n">
        <v>340</v>
      </c>
      <c r="E25" s="13" t="inlineStr">
        <is>
          <t>Junge Erwachsene 2027 im Schnitt CHF 338.80 (BAG). Prämienverbilligung beim Kanton prüfen.</t>
        </is>
      </c>
    </row>
    <row r="26" ht="22" customHeight="1">
      <c r="B26" s="10" t="inlineStr">
        <is>
          <t>Essen und Haushalt</t>
        </is>
      </c>
      <c r="C26" s="11" t="n"/>
      <c r="D26" s="12" t="n">
        <v>400</v>
      </c>
      <c r="E26" s="13" t="inlineStr"/>
    </row>
    <row r="27" ht="22" customHeight="1">
      <c r="B27" s="10" t="inlineStr">
        <is>
          <t>ÖV-Abo oder Velo</t>
        </is>
      </c>
      <c r="C27" s="11" t="n"/>
      <c r="D27" s="12" t="n">
        <v>80</v>
      </c>
      <c r="E27" s="13" t="inlineStr"/>
    </row>
    <row r="28" ht="30" customHeight="1">
      <c r="B28" s="10" t="inlineStr">
        <is>
          <t>Internet in der Wohnung (WLAN)</t>
        </is>
      </c>
      <c r="C28" s="11" t="n"/>
      <c r="D28" s="12" t="n">
        <v>45</v>
      </c>
      <c r="E28" s="13" t="inlineStr">
        <is>
          <t>Anschluss in der Wohnung prüfen: Glasfaser oder Kabel. In der WG teilen.</t>
        </is>
      </c>
    </row>
    <row r="29" ht="22" customHeight="1">
      <c r="B29" s="10" t="inlineStr">
        <is>
          <t>Handy-Abo</t>
        </is>
      </c>
      <c r="C29" s="11" t="n"/>
      <c r="D29" s="12" t="n">
        <v>30</v>
      </c>
      <c r="E29" s="13" t="inlineStr">
        <is>
          <t>Angebote für junge Leute vergleichen.</t>
        </is>
      </c>
    </row>
    <row r="30" ht="22" customHeight="1">
      <c r="B30" s="10" t="inlineStr">
        <is>
          <t>Strom</t>
        </is>
      </c>
      <c r="C30" s="11" t="n"/>
      <c r="D30" s="12" t="n">
        <v>30</v>
      </c>
      <c r="E30" s="13" t="inlineStr">
        <is>
          <t>Bei manchen Wohnungen in den Nebenkosten enthalten.</t>
        </is>
      </c>
    </row>
    <row r="31" ht="22" customHeight="1">
      <c r="B31" s="10" t="inlineStr">
        <is>
          <t>Serafe (Radio- und Fernsehabgabe)</t>
        </is>
      </c>
      <c r="C31" s="11" t="n"/>
      <c r="D31" s="12" t="n">
        <v>26</v>
      </c>
      <c r="E31" s="13" t="inlineStr">
        <is>
          <t>Ab 2027 CHF 312 pro Jahr. Eine WG zahlt sie nur einmal.</t>
        </is>
      </c>
    </row>
    <row r="32" ht="22" customHeight="1">
      <c r="B32" s="10" t="inlineStr">
        <is>
          <t>Privathaftpflicht- und Hausratversicherung</t>
        </is>
      </c>
      <c r="C32" s="11" t="n"/>
      <c r="D32" s="12" t="n">
        <v>20</v>
      </c>
      <c r="E32" s="13" t="inlineStr"/>
    </row>
    <row r="33" ht="22" customHeight="1">
      <c r="B33" s="10" t="inlineStr">
        <is>
          <t>Abos (Streaming, Musik, Fitness …)</t>
        </is>
      </c>
      <c r="C33" s="11" t="n"/>
      <c r="D33" s="12" t="n">
        <v>25</v>
      </c>
      <c r="E33" s="13" t="inlineStr">
        <is>
          <t>Spartipp: Prüf, welche Abos du wirklich nutzt.</t>
        </is>
      </c>
    </row>
    <row r="34" ht="30" customHeight="1">
      <c r="B34" s="10" t="inlineStr">
        <is>
          <t>Steuern (Rücklage)</t>
        </is>
      </c>
      <c r="C34" s="11" t="n"/>
      <c r="D34" s="12" t="n">
        <v>0</v>
      </c>
      <c r="E34" s="13" t="inlineStr">
        <is>
          <t>Arbeitest du mit vollem Lohn? Jährliche Steuern ÷ 12 hier eintragen. Studierende zahlen oft wenig oder keine.</t>
        </is>
      </c>
    </row>
    <row r="35" ht="22" customHeight="1">
      <c r="B35" s="10" t="inlineStr">
        <is>
          <t>Freizeit und Kleider</t>
        </is>
      </c>
      <c r="C35" s="11" t="n"/>
      <c r="D35" s="12" t="n">
        <v>200</v>
      </c>
      <c r="E35" s="13" t="inlineStr"/>
    </row>
    <row r="36" ht="22" customHeight="1">
      <c r="B36" s="10" t="inlineStr">
        <is>
          <t>Sparen und Reserve</t>
        </is>
      </c>
      <c r="C36" s="11" t="n"/>
      <c r="D36" s="12" t="n">
        <v>100</v>
      </c>
      <c r="E36" s="13" t="inlineStr">
        <is>
          <t>Ziel: einen kleinen Notgroschen aufbauen.</t>
        </is>
      </c>
    </row>
    <row r="37" ht="24" customHeight="1">
      <c r="B37" s="17" t="inlineStr">
        <is>
          <t>Total monatliche Ausgaben</t>
        </is>
      </c>
      <c r="C37" s="18">
        <f>SUM(C24:C36)</f>
        <v/>
      </c>
      <c r="D37" s="18">
        <f>SUM(D24:D36)</f>
        <v/>
      </c>
      <c r="E37" s="1" t="n"/>
    </row>
    <row r="39" ht="26" customHeight="1">
      <c r="A39" s="6" t="n"/>
      <c r="B39" s="7" t="inlineStr">
        <is>
          <t>4  Monatliche Einnahmen</t>
        </is>
      </c>
      <c r="C39" s="8" t="inlineStr">
        <is>
          <t>Deine Zahlen</t>
        </is>
      </c>
      <c r="D39" s="8" t="inlineStr">
        <is>
          <t>Beispiel</t>
        </is>
      </c>
      <c r="E39" s="9" t="inlineStr">
        <is>
          <t>Hinweis</t>
        </is>
      </c>
    </row>
    <row r="40" ht="22" customHeight="1">
      <c r="B40" s="10" t="inlineStr">
        <is>
          <t>Lohn (netto)</t>
        </is>
      </c>
      <c r="C40" s="11" t="n"/>
      <c r="D40" s="12" t="n">
        <v>1900</v>
      </c>
      <c r="E40" s="13" t="inlineStr">
        <is>
          <t>Nebenjob, Lehrlingslohn oder Lohn.</t>
        </is>
      </c>
    </row>
    <row r="41" ht="22" customHeight="1">
      <c r="B41" s="10" t="inlineStr">
        <is>
          <t>Unterstützung der Eltern</t>
        </is>
      </c>
      <c r="C41" s="11" t="n"/>
      <c r="D41" s="12" t="n">
        <v>500</v>
      </c>
      <c r="E41" s="13" t="inlineStr"/>
    </row>
    <row r="42" ht="22" customHeight="1">
      <c r="B42" s="10" t="inlineStr">
        <is>
          <t>Stipendium oder Sonstiges</t>
        </is>
      </c>
      <c r="C42" s="11" t="n"/>
      <c r="D42" s="12" t="n">
        <v>0</v>
      </c>
      <c r="E42" s="13" t="inlineStr"/>
    </row>
    <row r="43" ht="24" customHeight="1">
      <c r="B43" s="17" t="inlineStr">
        <is>
          <t>Total monatliche Einnahmen</t>
        </is>
      </c>
      <c r="C43" s="18">
        <f>SUM(C40:C42)</f>
        <v/>
      </c>
      <c r="D43" s="18">
        <f>SUM(D40:D42)</f>
        <v/>
      </c>
      <c r="E43" s="1" t="n"/>
    </row>
    <row r="45" ht="26" customHeight="1">
      <c r="A45" s="6" t="n"/>
      <c r="B45" s="7" t="inlineStr">
        <is>
          <t>5  Ergebnis</t>
        </is>
      </c>
      <c r="C45" s="8" t="inlineStr">
        <is>
          <t>Deine Zahlen</t>
        </is>
      </c>
      <c r="D45" s="8" t="inlineStr">
        <is>
          <t>Beispiel</t>
        </is>
      </c>
      <c r="E45" s="9" t="inlineStr">
        <is>
          <t>So liest du es</t>
        </is>
      </c>
    </row>
    <row r="46" ht="26" customHeight="1">
      <c r="B46" s="19" t="inlineStr">
        <is>
          <t>Bleibt pro Monat übrig</t>
        </is>
      </c>
      <c r="C46" s="20">
        <f>C43-C37</f>
        <v/>
      </c>
      <c r="D46" s="20">
        <f>D43-D37</f>
        <v/>
      </c>
      <c r="E46" s="13" t="inlineStr">
        <is>
          <t>Grün: Es geht auf. Rot: Bei Miete, Krankenkasse, Abos oder Freizeit ansetzen.</t>
        </is>
      </c>
    </row>
    <row r="47" ht="26" customHeight="1">
      <c r="B47" s="19" t="inlineStr">
        <is>
          <t>Anteil Miete am Einkommen</t>
        </is>
      </c>
      <c r="C47" s="21">
        <f>IF(C43&gt;0,C24/C43,"")</f>
        <v/>
      </c>
      <c r="D47" s="21">
        <f>IF(D43&gt;0,D24/D43,"")</f>
        <v/>
      </c>
      <c r="E47" s="13" t="inlineStr">
        <is>
          <t>Faustregel: höchstens ein Drittel (33 %). Darüber wird es knapp.</t>
        </is>
      </c>
    </row>
    <row r="48" ht="26" customHeight="1">
      <c r="B48" s="19" t="inlineStr">
        <is>
          <t>Monate, bis die einmaligen Kosten angespart sind</t>
        </is>
      </c>
      <c r="C48" s="22">
        <f>IF(C46&gt;0,ROUNDUP(C21/C46,0),"–")</f>
        <v/>
      </c>
      <c r="D48" s="22">
        <f>IF(D46&gt;0,ROUNDUP(D21/D46,0),"–")</f>
        <v/>
      </c>
      <c r="E48" s="13" t="inlineStr">
        <is>
          <t>Wenn du jeden Monat den Betrag zur Seite legst, der übrig bleibt.</t>
        </is>
      </c>
    </row>
    <row r="50">
      <c r="B50" s="23" t="inlineStr">
        <is>
          <t>Ohne Gewähr, keine Finanz- oder Rechtsberatung. Mehr dazu: erstebude.ch/artikel/kosten-erste-wohnung-mietzinsdepot.html</t>
        </is>
      </c>
    </row>
  </sheetData>
  <mergeCells count="1">
    <mergeCell ref="B5:E5"/>
  </mergeCells>
  <conditionalFormatting sqref="C46:D46">
    <cfRule type="cellIs" priority="1" operator="greaterThanOrEqual" dxfId="0">
      <formula>0</formula>
    </cfRule>
    <cfRule type="cellIs" priority="2" operator="lessThan" dxfId="1">
      <formula>0</formula>
    </cfRule>
  </conditionalFormatting>
  <conditionalFormatting sqref="C47:D47">
    <cfRule type="expression" priority="3" dxfId="1">
      <formula>AND(ISNUMBER(C47),C47&gt;0.34)</formula>
    </cfRule>
    <cfRule type="expression" priority="4" dxfId="0">
      <formula>AND(ISNUMBER(C47),C47&lt;=0.34)</formula>
    </cfRule>
  </conditionalFormatting>
  <dataValidations count="1">
    <dataValidation sqref="C10" showDropDown="0" showInputMessage="0" showErrorMessage="1" allowBlank="0" errorTitle="Höchstens 3" error="Bei Wohnungen sind höchstens 3 Monatsmieten erlaubt (Art. 257e OR)." type="decimal" operator="between">
      <formula1>0</formula1>
      <formula2>3</formula2>
    </dataValidation>
  </dataValidations>
  <printOptions horizontalCentered="1"/>
  <pageMargins left="0.4" right="0.4" top="1" bottom="1" header="0.5" footer="0.5"/>
  <pageSetup orientation="portrait" paperSize="9" fitToHeight="0" fitToWidth="1"/>
  <headerFooter>
    <oddHeader/>
    <oddFooter>&amp;Cerstebude.ch · Budget-Tabelle</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2026-10-30T22:23:07Z</dcterms:created>
  <dcterms:modified xmlns:dcterms="http://purl.org/dc/terms/" xmlns:xsi="http://www.w3.org/2001/XMLSchema-instance" xsi:type="dcterms:W3CDTF">2026-10-30T22:23:07Z</dcterms:modified>
</cp:coreProperties>
</file>